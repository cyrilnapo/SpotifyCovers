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High-quality-cover\docs\"/>
    </mc:Choice>
  </mc:AlternateContent>
  <xr:revisionPtr revIDLastSave="0" documentId="13_ncr:1_{E2A2D977-15ED-447C-A205-2F510CA8B6E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Diagramme" sheetId="156" r:id="rId6"/>
    <sheet name="achievementWeek" sheetId="154" state="hidden" r:id="rId7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6">achievementWeek!$A$1:$D$19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56" l="1"/>
  <c r="B23" i="156"/>
  <c r="B21" i="156"/>
  <c r="B19" i="156"/>
  <c r="B17" i="156"/>
  <c r="B15" i="156"/>
  <c r="B13" i="156"/>
  <c r="B11" i="156"/>
  <c r="B9" i="156"/>
  <c r="B7" i="156"/>
  <c r="B5" i="156"/>
  <c r="C28" i="156"/>
  <c r="C27" i="156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<sst xmlns="http://schemas.openxmlformats.org/spreadsheetml/2006/main" count="112" uniqueCount="47">
  <si>
    <t>Module :</t>
  </si>
  <si>
    <t>p_prod</t>
  </si>
  <si>
    <t>Prénom - nom :</t>
  </si>
  <si>
    <t>Cyril Napoleone</t>
  </si>
  <si>
    <t>Classe :</t>
  </si>
  <si>
    <t>CID2A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</si>
  <si>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</si>
  <si>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</si>
  <si>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</si>
  <si>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</si>
  <si>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</si>
  <si>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</si>
  <si>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</si>
  <si>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</si>
  <si>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</si>
  <si>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</si>
  <si>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</si>
  <si>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Création CDC et autres fichiers</t>
  </si>
  <si>
    <t>Reprise en main du projet</t>
  </si>
  <si>
    <t>Documentation sur fonctionnement API Spotify</t>
  </si>
  <si>
    <t>Documentation sur fonctionnement React</t>
  </si>
  <si>
    <t>Système de connexion</t>
  </si>
  <si>
    <t>Visualisation profil</t>
  </si>
  <si>
    <t>Visualisation statistique écoutes</t>
  </si>
  <si>
    <t>Page de favoris</t>
  </si>
  <si>
    <t>Fonctionnalité d'ajout aux favoris</t>
  </si>
  <si>
    <t>Plannification projet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</si>
  <si>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</si>
  <si>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</si>
  <si>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</si>
  <si>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</si>
  <si>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</si>
  <si>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</si>
  <si>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</si>
  <si>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</si>
  <si>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</si>
  <si>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</si>
  <si>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Max. 9</t>
  </si>
  <si>
    <t>STOP</t>
  </si>
  <si>
    <t>Début:</t>
  </si>
  <si>
    <t>Redaction rapport</t>
  </si>
  <si>
    <t>S 1</t>
  </si>
  <si>
    <t>S 2</t>
  </si>
  <si>
    <t>S 3</t>
  </si>
  <si>
    <t>S 4</t>
  </si>
  <si>
    <t>S 5</t>
  </si>
  <si>
    <t>S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</si>
</sst>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Alignment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abSelected="1" view="pageBreakPreview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6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88" t="s">
        <v>14</v>
      </c>
      <c r="C19" s="89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21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22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23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24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25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26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 t="s">
        <v>40</v>
      </c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27</v>
      </c>
      <c r="C2" s="15" t="s">
        <v>28</v>
      </c>
    </row>
    <row r="3" spans="1:4" ht="19.5" customHeight="1" x14ac:dyDescent="0.25">
      <c r="A3" s="19"/>
      <c r="B3" s="90" t="s">
        <v>16</v>
      </c>
      <c r="C3" s="16">
        <v>0</v>
      </c>
    </row>
    <row r="4" spans="1:4" ht="19.5" customHeight="1" x14ac:dyDescent="0.25">
      <c r="A4" s="19"/>
      <c r="B4" s="9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29</v>
      </c>
      <c r="C3" s="27">
        <v>0</v>
      </c>
    </row>
    <row r="4" spans="2:3" ht="18.75" thickBot="1" x14ac:dyDescent="0.3">
      <c r="B4" s="26" t="s">
        <v>30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31</v>
      </c>
      <c r="B1" s="7">
        <v>1</v>
      </c>
      <c r="C1" s="17"/>
      <c r="D1" s="85"/>
    </row>
    <row r="2" spans="1:4" ht="27.75" thickBot="1" x14ac:dyDescent="0.3">
      <c r="A2" s="8" t="s">
        <v>32</v>
      </c>
      <c r="B2" s="18" t="s">
        <v>33</v>
      </c>
      <c r="C2" s="8" t="s">
        <v>34</v>
      </c>
      <c r="D2" s="8" t="s">
        <v>35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216A6-3785-4CE0-BD53-C9751593DF7F}">
  <sheetPr codeName="Feuil5"/>
  <dimension ref="A1:H85"/>
  <sheetViews>
    <sheetView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31</v>
      </c>
      <c r="B1" s="7">
        <v>1</v>
      </c>
      <c r="C1" s="17"/>
      <c r="D1" s="85"/>
    </row>
    <row r="2" spans="1:4" ht="27.75" thickBot="1" x14ac:dyDescent="0.3">
      <c r="A2" s="8" t="s">
        <v>32</v>
      </c>
      <c r="B2" s="18" t="s">
        <v>33</v>
      </c>
      <c r="C2" s="8" t="s">
        <v>34</v>
      </c>
      <c r="D2" s="8" t="s">
        <v>35</v>
      </c>
    </row>
    <row r="3" spans="1:4" s="52" customFormat="1" ht="27" x14ac:dyDescent="0.25">
      <c r="A3" s="5" t="s">
        <v>17</v>
      </c>
      <c r="B3" s="4">
        <v>2</v>
      </c>
      <c r="C3" s="9"/>
      <c r="D3" s="9"/>
    </row>
    <row r="4" spans="1:4" s="52" customFormat="1" ht="27" x14ac:dyDescent="0.25">
      <c r="A4" s="1" t="s">
        <v>18</v>
      </c>
      <c r="B4" s="2">
        <v>5</v>
      </c>
      <c r="C4" s="10"/>
      <c r="D4" s="10"/>
    </row>
    <row r="5" spans="1:4" s="52" customFormat="1" x14ac:dyDescent="0.25">
      <c r="A5" s="1" t="s">
        <v>26</v>
      </c>
      <c r="B5" s="2">
        <v>2</v>
      </c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36</v>
      </c>
      <c r="B13" s="12">
        <f>SUM(B3:B12)</f>
        <v>9</v>
      </c>
      <c r="C13" s="86" t="s">
        <v>37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31</v>
      </c>
      <c r="B15" s="7">
        <v>2</v>
      </c>
      <c r="C15" s="17"/>
      <c r="D15" s="85"/>
    </row>
    <row r="16" spans="1:4" ht="27.75" thickBot="1" x14ac:dyDescent="0.3">
      <c r="A16" s="8" t="s">
        <v>32</v>
      </c>
      <c r="B16" s="18" t="s">
        <v>33</v>
      </c>
      <c r="C16" s="8" t="s">
        <v>34</v>
      </c>
      <c r="D16" s="8" t="s">
        <v>35</v>
      </c>
    </row>
    <row r="17" spans="1:8" ht="40.5" x14ac:dyDescent="0.25">
      <c r="A17" s="5" t="s">
        <v>19</v>
      </c>
      <c r="B17" s="4">
        <v>3</v>
      </c>
      <c r="C17" s="9"/>
      <c r="D17" s="9"/>
    </row>
    <row r="18" spans="1:8" ht="40.5" x14ac:dyDescent="0.25">
      <c r="A18" s="1" t="s">
        <v>20</v>
      </c>
      <c r="B18" s="2">
        <v>3</v>
      </c>
      <c r="C18" s="10"/>
      <c r="D18" s="10"/>
    </row>
    <row r="19" spans="1:8" ht="27" x14ac:dyDescent="0.25">
      <c r="A19" s="1" t="s">
        <v>21</v>
      </c>
      <c r="B19" s="2">
        <v>3</v>
      </c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36</v>
      </c>
      <c r="B27" s="12">
        <f>SUM(B17:B26)</f>
        <v>9</v>
      </c>
      <c r="C27" s="86" t="s">
        <v>37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31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32</v>
      </c>
      <c r="B30" s="18" t="s">
        <v>33</v>
      </c>
      <c r="C30" s="8" t="s">
        <v>34</v>
      </c>
      <c r="D30" s="8" t="s">
        <v>35</v>
      </c>
      <c r="F30" s="38"/>
      <c r="G30" s="39"/>
      <c r="H30" s="39"/>
    </row>
    <row r="31" spans="1:8" ht="27" x14ac:dyDescent="0.3">
      <c r="A31" s="5" t="s">
        <v>21</v>
      </c>
      <c r="B31" s="4">
        <v>6</v>
      </c>
      <c r="C31" s="9"/>
      <c r="D31" s="9"/>
      <c r="F31" s="40"/>
      <c r="G31" s="40"/>
      <c r="H31" s="40"/>
    </row>
    <row r="32" spans="1:8" x14ac:dyDescent="0.25">
      <c r="A32" s="1" t="s">
        <v>22</v>
      </c>
      <c r="B32" s="2">
        <v>3</v>
      </c>
      <c r="C32" s="10"/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36</v>
      </c>
      <c r="B41" s="12">
        <f>SUM(B31:B40)</f>
        <v>9</v>
      </c>
      <c r="C41" s="86" t="s">
        <v>37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31</v>
      </c>
      <c r="B43" s="7">
        <v>4</v>
      </c>
      <c r="C43" s="17"/>
      <c r="D43" s="85"/>
    </row>
    <row r="44" spans="1:4" ht="27.75" thickBot="1" x14ac:dyDescent="0.3">
      <c r="A44" s="8" t="s">
        <v>32</v>
      </c>
      <c r="B44" s="18" t="s">
        <v>33</v>
      </c>
      <c r="C44" s="8" t="s">
        <v>34</v>
      </c>
      <c r="D44" s="8" t="s">
        <v>35</v>
      </c>
    </row>
    <row r="45" spans="1:4" ht="27" x14ac:dyDescent="0.25">
      <c r="A45" s="5" t="s">
        <v>25</v>
      </c>
      <c r="B45" s="4">
        <v>6</v>
      </c>
      <c r="C45" s="9"/>
      <c r="D45" s="9"/>
    </row>
    <row r="46" spans="1:4" x14ac:dyDescent="0.25">
      <c r="A46" s="1" t="s">
        <v>24</v>
      </c>
      <c r="B46" s="2">
        <v>3</v>
      </c>
      <c r="C46" s="10"/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36</v>
      </c>
      <c r="B55" s="12">
        <f>SUM(B45:B54)</f>
        <v>9</v>
      </c>
      <c r="C55" s="86" t="s">
        <v>37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31</v>
      </c>
      <c r="B57" s="7">
        <v>5</v>
      </c>
      <c r="C57" s="17"/>
      <c r="D57" s="85"/>
    </row>
    <row r="58" spans="1:4" ht="27.75" thickBot="1" x14ac:dyDescent="0.3">
      <c r="A58" s="8" t="s">
        <v>32</v>
      </c>
      <c r="B58" s="18" t="s">
        <v>33</v>
      </c>
      <c r="C58" s="8" t="s">
        <v>34</v>
      </c>
      <c r="D58" s="8" t="s">
        <v>35</v>
      </c>
    </row>
    <row r="59" spans="1:4" ht="27" x14ac:dyDescent="0.25">
      <c r="A59" s="5" t="s">
        <v>23</v>
      </c>
      <c r="B59" s="4">
        <v>9</v>
      </c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36</v>
      </c>
      <c r="B69" s="12">
        <f>SUM(B59:B68)</f>
        <v>9</v>
      </c>
      <c r="C69" s="86" t="s">
        <v>37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31</v>
      </c>
      <c r="B71" s="7">
        <v>6</v>
      </c>
      <c r="C71" s="17"/>
      <c r="D71" s="85"/>
    </row>
    <row r="72" spans="1:4" ht="27.75" thickBot="1" x14ac:dyDescent="0.3">
      <c r="A72" s="8" t="s">
        <v>32</v>
      </c>
      <c r="B72" s="18" t="s">
        <v>33</v>
      </c>
      <c r="C72" s="8" t="s">
        <v>34</v>
      </c>
      <c r="D72" s="8" t="s">
        <v>35</v>
      </c>
    </row>
    <row r="73" spans="1:4" x14ac:dyDescent="0.25">
      <c r="A73" s="5" t="s">
        <v>40</v>
      </c>
      <c r="B73" s="4">
        <v>9</v>
      </c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36</v>
      </c>
      <c r="B83" s="12">
        <f>SUM(B73:B82)</f>
        <v>9</v>
      </c>
      <c r="C83" s="86" t="s">
        <v>37</v>
      </c>
      <c r="D83" s="13"/>
    </row>
    <row r="84" spans="1:4" ht="14.25" x14ac:dyDescent="0.3">
      <c r="A84" s="14"/>
      <c r="B84" s="14"/>
      <c r="C84" s="14"/>
      <c r="D84" s="14"/>
    </row>
    <row r="85" spans="1:4" x14ac:dyDescent="0.25">
      <c r="A85" s="87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" xr:uid="{A676FA36-8F5F-4460-8E0D-F66F7139F76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" xr:uid="{E239C7C6-410B-4FC6-A080-6E70DF8AC04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" xr:uid="{EEED11B2-C094-438B-A03B-F6C4F6C1A2B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E7E09F6-BFC4-44A2-A9B0-1A24659B7A37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AF79-84A9-41E7-8398-011F504D544F}">
  <sheetPr codeName="Feuil7"/>
  <dimension ref="A1:BE2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16384" width="1.5703125" style="92"/>
  </cols>
  <sheetData>
    <row r="1" spans="1:57" ht="14.25" thickBot="1" x14ac:dyDescent="0.3">
      <c r="B1" s="93"/>
      <c r="C1" s="93"/>
    </row>
    <row r="2" spans="1:57" ht="42.75" customHeight="1" thickBot="1" x14ac:dyDescent="0.3">
      <c r="A2" s="94"/>
      <c r="B2" s="95" t="s">
        <v>27</v>
      </c>
      <c r="C2" s="96" t="s">
        <v>28</v>
      </c>
      <c r="D2" s="97" t="s">
        <v>41</v>
      </c>
      <c r="E2" s="98"/>
      <c r="F2" s="98"/>
      <c r="G2" s="98"/>
      <c r="H2" s="98"/>
      <c r="I2" s="98"/>
      <c r="J2" s="98"/>
      <c r="K2" s="98"/>
      <c r="L2" s="99"/>
      <c r="M2" s="97" t="s">
        <v>42</v>
      </c>
      <c r="N2" s="98"/>
      <c r="O2" s="98"/>
      <c r="P2" s="98"/>
      <c r="Q2" s="98"/>
      <c r="R2" s="98"/>
      <c r="S2" s="98"/>
      <c r="T2" s="98"/>
      <c r="U2" s="99"/>
      <c r="V2" s="97" t="s">
        <v>43</v>
      </c>
      <c r="W2" s="98"/>
      <c r="X2" s="98"/>
      <c r="Y2" s="98"/>
      <c r="Z2" s="98"/>
      <c r="AA2" s="98"/>
      <c r="AB2" s="98"/>
      <c r="AC2" s="98"/>
      <c r="AD2" s="99"/>
      <c r="AE2" s="97" t="s">
        <v>44</v>
      </c>
      <c r="AF2" s="98"/>
      <c r="AG2" s="98"/>
      <c r="AH2" s="98"/>
      <c r="AI2" s="98"/>
      <c r="AJ2" s="98"/>
      <c r="AK2" s="98"/>
      <c r="AL2" s="98"/>
      <c r="AM2" s="99"/>
      <c r="AN2" s="97" t="s">
        <v>45</v>
      </c>
      <c r="AO2" s="98"/>
      <c r="AP2" s="98"/>
      <c r="AQ2" s="98"/>
      <c r="AR2" s="98"/>
      <c r="AS2" s="98"/>
      <c r="AT2" s="98"/>
      <c r="AU2" s="98"/>
      <c r="AV2" s="99"/>
      <c r="AW2" s="97" t="s">
        <v>46</v>
      </c>
      <c r="AX2" s="98"/>
      <c r="AY2" s="98"/>
      <c r="AZ2" s="98"/>
      <c r="BA2" s="98"/>
      <c r="BB2" s="98"/>
      <c r="BC2" s="98"/>
      <c r="BD2" s="98"/>
      <c r="BE2" s="99"/>
    </row>
    <row r="3" spans="1:57" ht="19.5" customHeight="1" x14ac:dyDescent="0.25">
      <c r="A3" s="94"/>
      <c r="B3" s="100" t="s">
        <v>16</v>
      </c>
      <c r="C3" s="101">
        <v>0</v>
      </c>
      <c r="D3" s="102"/>
      <c r="E3" s="103"/>
      <c r="F3" s="104"/>
      <c r="G3" s="105"/>
      <c r="H3" s="103"/>
      <c r="I3" s="104"/>
      <c r="J3" s="105"/>
      <c r="K3" s="103"/>
      <c r="L3" s="106"/>
      <c r="M3" s="102"/>
      <c r="N3" s="103"/>
      <c r="O3" s="104"/>
      <c r="P3" s="105"/>
      <c r="Q3" s="103"/>
      <c r="R3" s="104"/>
      <c r="S3" s="105"/>
      <c r="T3" s="103"/>
      <c r="U3" s="106"/>
      <c r="V3" s="102"/>
      <c r="W3" s="103"/>
      <c r="X3" s="104"/>
      <c r="Y3" s="105"/>
      <c r="Z3" s="103"/>
      <c r="AA3" s="104"/>
      <c r="AB3" s="105"/>
      <c r="AC3" s="103"/>
      <c r="AD3" s="106"/>
      <c r="AE3" s="102"/>
      <c r="AF3" s="103"/>
      <c r="AG3" s="104"/>
      <c r="AH3" s="105"/>
      <c r="AI3" s="103"/>
      <c r="AJ3" s="104"/>
      <c r="AK3" s="105"/>
      <c r="AL3" s="103"/>
      <c r="AM3" s="106"/>
      <c r="AN3" s="102"/>
      <c r="AO3" s="103"/>
      <c r="AP3" s="104"/>
      <c r="AQ3" s="105"/>
      <c r="AR3" s="103"/>
      <c r="AS3" s="104"/>
      <c r="AT3" s="105"/>
      <c r="AU3" s="103"/>
      <c r="AV3" s="106"/>
      <c r="AW3" s="102"/>
      <c r="AX3" s="103"/>
      <c r="AY3" s="104"/>
      <c r="AZ3" s="105"/>
      <c r="BA3" s="103"/>
      <c r="BB3" s="104"/>
      <c r="BC3" s="105"/>
      <c r="BD3" s="103"/>
      <c r="BE3" s="106"/>
    </row>
    <row r="4" spans="1:57" ht="19.5" customHeight="1" thickBot="1" x14ac:dyDescent="0.3">
      <c r="A4" s="94"/>
      <c r="B4" s="107"/>
      <c r="C4" s="108">
        <v>0</v>
      </c>
      <c r="D4" s="109"/>
      <c r="E4" s="110"/>
      <c r="F4" s="111"/>
      <c r="G4" s="112"/>
      <c r="H4" s="110"/>
      <c r="I4" s="111"/>
      <c r="J4" s="112"/>
      <c r="K4" s="110"/>
      <c r="L4" s="113"/>
      <c r="M4" s="109"/>
      <c r="N4" s="110"/>
      <c r="O4" s="111"/>
      <c r="P4" s="112"/>
      <c r="Q4" s="110"/>
      <c r="R4" s="111"/>
      <c r="S4" s="112"/>
      <c r="T4" s="110"/>
      <c r="U4" s="113"/>
      <c r="V4" s="109"/>
      <c r="W4" s="110"/>
      <c r="X4" s="111"/>
      <c r="Y4" s="112"/>
      <c r="Z4" s="110"/>
      <c r="AA4" s="111"/>
      <c r="AB4" s="112"/>
      <c r="AC4" s="110"/>
      <c r="AD4" s="113"/>
      <c r="AE4" s="109"/>
      <c r="AF4" s="110"/>
      <c r="AG4" s="111"/>
      <c r="AH4" s="112"/>
      <c r="AI4" s="110"/>
      <c r="AJ4" s="111"/>
      <c r="AK4" s="112"/>
      <c r="AL4" s="110"/>
      <c r="AM4" s="113"/>
      <c r="AN4" s="109"/>
      <c r="AO4" s="110"/>
      <c r="AP4" s="111"/>
      <c r="AQ4" s="112"/>
      <c r="AR4" s="110"/>
      <c r="AS4" s="111"/>
      <c r="AT4" s="112"/>
      <c r="AU4" s="110"/>
      <c r="AV4" s="113"/>
      <c r="AW4" s="109"/>
      <c r="AX4" s="110"/>
      <c r="AY4" s="111"/>
      <c r="AZ4" s="112"/>
      <c r="BA4" s="110"/>
      <c r="BB4" s="111"/>
      <c r="BC4" s="112"/>
      <c r="BD4" s="110"/>
      <c r="BE4" s="113"/>
    </row>
    <row r="5" spans="1:57" ht="19.5" customHeight="1" x14ac:dyDescent="0.25">
      <c r="B5" s="114" t="str">
        <f>Donnees!$C$21</f>
        <v>Création CDC et autres fichiers</v>
      </c>
      <c r="C5" s="115">
        <v>2</v>
      </c>
      <c r="D5" s="130"/>
      <c r="E5" s="131"/>
      <c r="F5" s="104"/>
      <c r="G5" s="105"/>
      <c r="H5" s="103"/>
      <c r="I5" s="104"/>
      <c r="J5" s="105"/>
      <c r="K5" s="103"/>
      <c r="L5" s="106"/>
      <c r="M5" s="102"/>
      <c r="N5" s="103"/>
      <c r="O5" s="104"/>
      <c r="P5" s="105"/>
      <c r="Q5" s="103"/>
      <c r="R5" s="104"/>
      <c r="S5" s="105"/>
      <c r="T5" s="103"/>
      <c r="U5" s="106"/>
      <c r="V5" s="102"/>
      <c r="W5" s="103"/>
      <c r="X5" s="104"/>
      <c r="Y5" s="105"/>
      <c r="Z5" s="103"/>
      <c r="AA5" s="104"/>
      <c r="AB5" s="105"/>
      <c r="AC5" s="103"/>
      <c r="AD5" s="106"/>
      <c r="AE5" s="102"/>
      <c r="AF5" s="103"/>
      <c r="AG5" s="104"/>
      <c r="AH5" s="105"/>
      <c r="AI5" s="103"/>
      <c r="AJ5" s="104"/>
      <c r="AK5" s="105"/>
      <c r="AL5" s="103"/>
      <c r="AM5" s="106"/>
      <c r="AN5" s="102"/>
      <c r="AO5" s="103"/>
      <c r="AP5" s="104"/>
      <c r="AQ5" s="105"/>
      <c r="AR5" s="103"/>
      <c r="AS5" s="104"/>
      <c r="AT5" s="105"/>
      <c r="AU5" s="103"/>
      <c r="AV5" s="106"/>
      <c r="AW5" s="102"/>
      <c r="AX5" s="103"/>
      <c r="AY5" s="104"/>
      <c r="AZ5" s="105"/>
      <c r="BA5" s="103"/>
      <c r="BB5" s="104"/>
      <c r="BC5" s="105"/>
      <c r="BD5" s="103"/>
      <c r="BE5" s="106"/>
    </row>
    <row r="6" spans="1:57" ht="19.5" customHeight="1" thickBot="1" x14ac:dyDescent="0.3">
      <c r="B6" s="116"/>
      <c r="C6" s="117">
        <v>0</v>
      </c>
      <c r="D6" s="109"/>
      <c r="E6" s="110"/>
      <c r="F6" s="111"/>
      <c r="G6" s="112"/>
      <c r="H6" s="110"/>
      <c r="I6" s="111"/>
      <c r="J6" s="112"/>
      <c r="K6" s="110"/>
      <c r="L6" s="113"/>
      <c r="M6" s="109"/>
      <c r="N6" s="110"/>
      <c r="O6" s="111"/>
      <c r="P6" s="112"/>
      <c r="Q6" s="110"/>
      <c r="R6" s="111"/>
      <c r="S6" s="112"/>
      <c r="T6" s="110"/>
      <c r="U6" s="113"/>
      <c r="V6" s="109"/>
      <c r="W6" s="110"/>
      <c r="X6" s="111"/>
      <c r="Y6" s="112"/>
      <c r="Z6" s="110"/>
      <c r="AA6" s="111"/>
      <c r="AB6" s="112"/>
      <c r="AC6" s="110"/>
      <c r="AD6" s="113"/>
      <c r="AE6" s="109"/>
      <c r="AF6" s="110"/>
      <c r="AG6" s="111"/>
      <c r="AH6" s="112"/>
      <c r="AI6" s="110"/>
      <c r="AJ6" s="111"/>
      <c r="AK6" s="112"/>
      <c r="AL6" s="110"/>
      <c r="AM6" s="113"/>
      <c r="AN6" s="109"/>
      <c r="AO6" s="110"/>
      <c r="AP6" s="111"/>
      <c r="AQ6" s="112"/>
      <c r="AR6" s="110"/>
      <c r="AS6" s="111"/>
      <c r="AT6" s="112"/>
      <c r="AU6" s="110"/>
      <c r="AV6" s="113"/>
      <c r="AW6" s="109"/>
      <c r="AX6" s="110"/>
      <c r="AY6" s="111"/>
      <c r="AZ6" s="112"/>
      <c r="BA6" s="110"/>
      <c r="BB6" s="111"/>
      <c r="BC6" s="112"/>
      <c r="BD6" s="110"/>
      <c r="BE6" s="113"/>
    </row>
    <row r="7" spans="1:57" ht="19.5" customHeight="1" x14ac:dyDescent="0.25">
      <c r="B7" s="118" t="str">
        <f>Donnees!$C$22</f>
        <v>Reprise en main du projet</v>
      </c>
      <c r="C7" s="115">
        <v>5</v>
      </c>
      <c r="D7" s="102"/>
      <c r="E7" s="103"/>
      <c r="F7" s="132"/>
      <c r="G7" s="133"/>
      <c r="H7" s="131"/>
      <c r="I7" s="132"/>
      <c r="J7" s="133"/>
      <c r="K7" s="103"/>
      <c r="L7" s="106"/>
      <c r="M7" s="102"/>
      <c r="N7" s="103"/>
      <c r="O7" s="104"/>
      <c r="P7" s="105"/>
      <c r="Q7" s="103"/>
      <c r="R7" s="104"/>
      <c r="S7" s="105"/>
      <c r="T7" s="103"/>
      <c r="U7" s="106"/>
      <c r="V7" s="102"/>
      <c r="W7" s="103"/>
      <c r="X7" s="104"/>
      <c r="Y7" s="105"/>
      <c r="Z7" s="103"/>
      <c r="AA7" s="104"/>
      <c r="AB7" s="105"/>
      <c r="AC7" s="103"/>
      <c r="AD7" s="106"/>
      <c r="AE7" s="102"/>
      <c r="AF7" s="103"/>
      <c r="AG7" s="104"/>
      <c r="AH7" s="105"/>
      <c r="AI7" s="103"/>
      <c r="AJ7" s="104"/>
      <c r="AK7" s="105"/>
      <c r="AL7" s="103"/>
      <c r="AM7" s="106"/>
      <c r="AN7" s="102"/>
      <c r="AO7" s="103"/>
      <c r="AP7" s="104"/>
      <c r="AQ7" s="105"/>
      <c r="AR7" s="103"/>
      <c r="AS7" s="104"/>
      <c r="AT7" s="105"/>
      <c r="AU7" s="103"/>
      <c r="AV7" s="106"/>
      <c r="AW7" s="102"/>
      <c r="AX7" s="103"/>
      <c r="AY7" s="104"/>
      <c r="AZ7" s="105"/>
      <c r="BA7" s="103"/>
      <c r="BB7" s="104"/>
      <c r="BC7" s="105"/>
      <c r="BD7" s="103"/>
      <c r="BE7" s="106"/>
    </row>
    <row r="8" spans="1:57" ht="19.5" customHeight="1" thickBot="1" x14ac:dyDescent="0.3">
      <c r="B8" s="116"/>
      <c r="C8" s="117">
        <v>0</v>
      </c>
      <c r="D8" s="109"/>
      <c r="E8" s="110"/>
      <c r="F8" s="111"/>
      <c r="G8" s="112"/>
      <c r="H8" s="110"/>
      <c r="I8" s="111"/>
      <c r="J8" s="112"/>
      <c r="K8" s="110"/>
      <c r="L8" s="113"/>
      <c r="M8" s="109"/>
      <c r="N8" s="110"/>
      <c r="O8" s="111"/>
      <c r="P8" s="112"/>
      <c r="Q8" s="110"/>
      <c r="R8" s="111"/>
      <c r="S8" s="112"/>
      <c r="T8" s="110"/>
      <c r="U8" s="113"/>
      <c r="V8" s="109"/>
      <c r="W8" s="110"/>
      <c r="X8" s="111"/>
      <c r="Y8" s="112"/>
      <c r="Z8" s="110"/>
      <c r="AA8" s="111"/>
      <c r="AB8" s="112"/>
      <c r="AC8" s="110"/>
      <c r="AD8" s="113"/>
      <c r="AE8" s="109"/>
      <c r="AF8" s="110"/>
      <c r="AG8" s="111"/>
      <c r="AH8" s="112"/>
      <c r="AI8" s="110"/>
      <c r="AJ8" s="111"/>
      <c r="AK8" s="112"/>
      <c r="AL8" s="110"/>
      <c r="AM8" s="113"/>
      <c r="AN8" s="109"/>
      <c r="AO8" s="110"/>
      <c r="AP8" s="111"/>
      <c r="AQ8" s="112"/>
      <c r="AR8" s="110"/>
      <c r="AS8" s="111"/>
      <c r="AT8" s="112"/>
      <c r="AU8" s="110"/>
      <c r="AV8" s="113"/>
      <c r="AW8" s="109"/>
      <c r="AX8" s="110"/>
      <c r="AY8" s="111"/>
      <c r="AZ8" s="112"/>
      <c r="BA8" s="110"/>
      <c r="BB8" s="111"/>
      <c r="BC8" s="112"/>
      <c r="BD8" s="110"/>
      <c r="BE8" s="113"/>
    </row>
    <row r="9" spans="1:57" ht="19.5" customHeight="1" x14ac:dyDescent="0.25">
      <c r="B9" s="118" t="str">
        <f>Donnees!$C$23</f>
        <v>Documentation sur fonctionnement API Spotify</v>
      </c>
      <c r="C9" s="115">
        <v>3</v>
      </c>
      <c r="D9" s="102"/>
      <c r="E9" s="103"/>
      <c r="F9" s="104"/>
      <c r="G9" s="105"/>
      <c r="H9" s="103"/>
      <c r="I9" s="104"/>
      <c r="J9" s="105"/>
      <c r="K9" s="103"/>
      <c r="L9" s="106"/>
      <c r="M9" s="130"/>
      <c r="N9" s="131"/>
      <c r="O9" s="132"/>
      <c r="P9" s="105"/>
      <c r="Q9" s="103"/>
      <c r="R9" s="104"/>
      <c r="S9" s="105"/>
      <c r="T9" s="103"/>
      <c r="U9" s="106"/>
      <c r="V9" s="102"/>
      <c r="W9" s="103"/>
      <c r="X9" s="104"/>
      <c r="Y9" s="105"/>
      <c r="Z9" s="103"/>
      <c r="AA9" s="104"/>
      <c r="AB9" s="105"/>
      <c r="AC9" s="103"/>
      <c r="AD9" s="106"/>
      <c r="AE9" s="102"/>
      <c r="AF9" s="103"/>
      <c r="AG9" s="104"/>
      <c r="AH9" s="105"/>
      <c r="AI9" s="103"/>
      <c r="AJ9" s="104"/>
      <c r="AK9" s="105"/>
      <c r="AL9" s="103"/>
      <c r="AM9" s="106"/>
      <c r="AN9" s="102"/>
      <c r="AO9" s="103"/>
      <c r="AP9" s="104"/>
      <c r="AQ9" s="105"/>
      <c r="AR9" s="103"/>
      <c r="AS9" s="104"/>
      <c r="AT9" s="105"/>
      <c r="AU9" s="103"/>
      <c r="AV9" s="106"/>
      <c r="AW9" s="102"/>
      <c r="AX9" s="103"/>
      <c r="AY9" s="104"/>
      <c r="AZ9" s="105"/>
      <c r="BA9" s="103"/>
      <c r="BB9" s="104"/>
      <c r="BC9" s="105"/>
      <c r="BD9" s="103"/>
      <c r="BE9" s="106"/>
    </row>
    <row r="10" spans="1:57" ht="19.5" customHeight="1" thickBot="1" x14ac:dyDescent="0.3">
      <c r="B10" s="116"/>
      <c r="C10" s="117">
        <v>0</v>
      </c>
      <c r="D10" s="109"/>
      <c r="E10" s="110"/>
      <c r="F10" s="111"/>
      <c r="G10" s="112"/>
      <c r="H10" s="110"/>
      <c r="I10" s="111"/>
      <c r="J10" s="112"/>
      <c r="K10" s="110"/>
      <c r="L10" s="113"/>
      <c r="M10" s="109"/>
      <c r="N10" s="110"/>
      <c r="O10" s="111"/>
      <c r="P10" s="112"/>
      <c r="Q10" s="110"/>
      <c r="R10" s="111"/>
      <c r="S10" s="112"/>
      <c r="T10" s="110"/>
      <c r="U10" s="113"/>
      <c r="V10" s="109"/>
      <c r="W10" s="110"/>
      <c r="X10" s="111"/>
      <c r="Y10" s="112"/>
      <c r="Z10" s="110"/>
      <c r="AA10" s="111"/>
      <c r="AB10" s="112"/>
      <c r="AC10" s="110"/>
      <c r="AD10" s="113"/>
      <c r="AE10" s="109"/>
      <c r="AF10" s="110"/>
      <c r="AG10" s="111"/>
      <c r="AH10" s="112"/>
      <c r="AI10" s="110"/>
      <c r="AJ10" s="111"/>
      <c r="AK10" s="112"/>
      <c r="AL10" s="110"/>
      <c r="AM10" s="113"/>
      <c r="AN10" s="109"/>
      <c r="AO10" s="110"/>
      <c r="AP10" s="111"/>
      <c r="AQ10" s="112"/>
      <c r="AR10" s="110"/>
      <c r="AS10" s="111"/>
      <c r="AT10" s="112"/>
      <c r="AU10" s="110"/>
      <c r="AV10" s="113"/>
      <c r="AW10" s="109"/>
      <c r="AX10" s="110"/>
      <c r="AY10" s="111"/>
      <c r="AZ10" s="112"/>
      <c r="BA10" s="110"/>
      <c r="BB10" s="111"/>
      <c r="BC10" s="112"/>
      <c r="BD10" s="110"/>
      <c r="BE10" s="113"/>
    </row>
    <row r="11" spans="1:57" ht="19.5" customHeight="1" x14ac:dyDescent="0.25">
      <c r="B11" s="118" t="str">
        <f>Donnees!$C$24</f>
        <v>Documentation sur fonctionnement React</v>
      </c>
      <c r="C11" s="115">
        <v>3</v>
      </c>
      <c r="D11" s="102"/>
      <c r="E11" s="103"/>
      <c r="F11" s="104"/>
      <c r="G11" s="105"/>
      <c r="H11" s="103"/>
      <c r="I11" s="104"/>
      <c r="J11" s="105"/>
      <c r="K11" s="103"/>
      <c r="L11" s="106"/>
      <c r="M11" s="102"/>
      <c r="N11" s="103"/>
      <c r="O11" s="104"/>
      <c r="P11" s="133"/>
      <c r="Q11" s="131"/>
      <c r="R11" s="132"/>
      <c r="S11" s="105"/>
      <c r="T11" s="103"/>
      <c r="U11" s="106"/>
      <c r="V11" s="102"/>
      <c r="W11" s="103"/>
      <c r="X11" s="104"/>
      <c r="Y11" s="105"/>
      <c r="Z11" s="103"/>
      <c r="AA11" s="104"/>
      <c r="AB11" s="105"/>
      <c r="AC11" s="103"/>
      <c r="AD11" s="106"/>
      <c r="AE11" s="102"/>
      <c r="AF11" s="103"/>
      <c r="AG11" s="104"/>
      <c r="AH11" s="105"/>
      <c r="AI11" s="103"/>
      <c r="AJ11" s="104"/>
      <c r="AK11" s="105"/>
      <c r="AL11" s="103"/>
      <c r="AM11" s="106"/>
      <c r="AN11" s="102"/>
      <c r="AO11" s="103"/>
      <c r="AP11" s="104"/>
      <c r="AQ11" s="105"/>
      <c r="AR11" s="103"/>
      <c r="AS11" s="104"/>
      <c r="AT11" s="105"/>
      <c r="AU11" s="103"/>
      <c r="AV11" s="106"/>
      <c r="AW11" s="102"/>
      <c r="AX11" s="103"/>
      <c r="AY11" s="104"/>
      <c r="AZ11" s="105"/>
      <c r="BA11" s="103"/>
      <c r="BB11" s="104"/>
      <c r="BC11" s="105"/>
      <c r="BD11" s="103"/>
      <c r="BE11" s="106"/>
    </row>
    <row r="12" spans="1:57" ht="19.5" customHeight="1" thickBot="1" x14ac:dyDescent="0.3">
      <c r="B12" s="116"/>
      <c r="C12" s="117">
        <v>0</v>
      </c>
      <c r="D12" s="109"/>
      <c r="E12" s="110"/>
      <c r="F12" s="111"/>
      <c r="G12" s="112"/>
      <c r="H12" s="110"/>
      <c r="I12" s="111"/>
      <c r="J12" s="112"/>
      <c r="K12" s="110"/>
      <c r="L12" s="113"/>
      <c r="M12" s="109"/>
      <c r="N12" s="110"/>
      <c r="O12" s="111"/>
      <c r="P12" s="112"/>
      <c r="Q12" s="110"/>
      <c r="R12" s="111"/>
      <c r="S12" s="112"/>
      <c r="T12" s="110"/>
      <c r="U12" s="113"/>
      <c r="V12" s="109"/>
      <c r="W12" s="110"/>
      <c r="X12" s="111"/>
      <c r="Y12" s="112"/>
      <c r="Z12" s="110"/>
      <c r="AA12" s="111"/>
      <c r="AB12" s="112"/>
      <c r="AC12" s="110"/>
      <c r="AD12" s="113"/>
      <c r="AE12" s="109"/>
      <c r="AF12" s="110"/>
      <c r="AG12" s="111"/>
      <c r="AH12" s="112"/>
      <c r="AI12" s="110"/>
      <c r="AJ12" s="111"/>
      <c r="AK12" s="112"/>
      <c r="AL12" s="110"/>
      <c r="AM12" s="113"/>
      <c r="AN12" s="109"/>
      <c r="AO12" s="110"/>
      <c r="AP12" s="111"/>
      <c r="AQ12" s="112"/>
      <c r="AR12" s="110"/>
      <c r="AS12" s="111"/>
      <c r="AT12" s="112"/>
      <c r="AU12" s="110"/>
      <c r="AV12" s="113"/>
      <c r="AW12" s="109"/>
      <c r="AX12" s="110"/>
      <c r="AY12" s="111"/>
      <c r="AZ12" s="112"/>
      <c r="BA12" s="110"/>
      <c r="BB12" s="111"/>
      <c r="BC12" s="112"/>
      <c r="BD12" s="110"/>
      <c r="BE12" s="113"/>
    </row>
    <row r="13" spans="1:57" ht="19.5" customHeight="1" x14ac:dyDescent="0.25">
      <c r="B13" s="118" t="str">
        <f>Donnees!$C$25</f>
        <v>Système de connexion</v>
      </c>
      <c r="C13" s="115">
        <v>9</v>
      </c>
      <c r="D13" s="102"/>
      <c r="E13" s="103"/>
      <c r="F13" s="104"/>
      <c r="G13" s="105"/>
      <c r="H13" s="103"/>
      <c r="I13" s="104"/>
      <c r="J13" s="105"/>
      <c r="K13" s="103"/>
      <c r="L13" s="106"/>
      <c r="M13" s="102"/>
      <c r="N13" s="103"/>
      <c r="O13" s="104"/>
      <c r="P13" s="105"/>
      <c r="Q13" s="103"/>
      <c r="R13" s="104"/>
      <c r="S13" s="133"/>
      <c r="T13" s="131"/>
      <c r="U13" s="134"/>
      <c r="V13" s="130"/>
      <c r="W13" s="131"/>
      <c r="X13" s="132"/>
      <c r="Y13" s="133"/>
      <c r="Z13" s="131"/>
      <c r="AA13" s="132"/>
      <c r="AB13" s="105"/>
      <c r="AC13" s="103"/>
      <c r="AD13" s="106"/>
      <c r="AE13" s="102"/>
      <c r="AF13" s="103"/>
      <c r="AG13" s="104"/>
      <c r="AH13" s="105"/>
      <c r="AI13" s="103"/>
      <c r="AJ13" s="104"/>
      <c r="AK13" s="105"/>
      <c r="AL13" s="103"/>
      <c r="AM13" s="106"/>
      <c r="AN13" s="102"/>
      <c r="AO13" s="103"/>
      <c r="AP13" s="104"/>
      <c r="AQ13" s="105"/>
      <c r="AR13" s="103"/>
      <c r="AS13" s="104"/>
      <c r="AT13" s="105"/>
      <c r="AU13" s="103"/>
      <c r="AV13" s="106"/>
      <c r="AW13" s="102"/>
      <c r="AX13" s="103"/>
      <c r="AY13" s="104"/>
      <c r="AZ13" s="105"/>
      <c r="BA13" s="103"/>
      <c r="BB13" s="104"/>
      <c r="BC13" s="105"/>
      <c r="BD13" s="103"/>
      <c r="BE13" s="106"/>
    </row>
    <row r="14" spans="1:57" ht="19.5" customHeight="1" thickBot="1" x14ac:dyDescent="0.3">
      <c r="B14" s="116"/>
      <c r="C14" s="117">
        <v>0</v>
      </c>
      <c r="D14" s="109"/>
      <c r="E14" s="110"/>
      <c r="F14" s="111"/>
      <c r="G14" s="112"/>
      <c r="H14" s="110"/>
      <c r="I14" s="111"/>
      <c r="J14" s="112"/>
      <c r="K14" s="110"/>
      <c r="L14" s="113"/>
      <c r="M14" s="109"/>
      <c r="N14" s="110"/>
      <c r="O14" s="111"/>
      <c r="P14" s="112"/>
      <c r="Q14" s="110"/>
      <c r="R14" s="111"/>
      <c r="S14" s="112"/>
      <c r="T14" s="110"/>
      <c r="U14" s="113"/>
      <c r="V14" s="109"/>
      <c r="W14" s="110"/>
      <c r="X14" s="111"/>
      <c r="Y14" s="112"/>
      <c r="Z14" s="110"/>
      <c r="AA14" s="111"/>
      <c r="AB14" s="112"/>
      <c r="AC14" s="110"/>
      <c r="AD14" s="113"/>
      <c r="AE14" s="109"/>
      <c r="AF14" s="110"/>
      <c r="AG14" s="111"/>
      <c r="AH14" s="112"/>
      <c r="AI14" s="110"/>
      <c r="AJ14" s="111"/>
      <c r="AK14" s="112"/>
      <c r="AL14" s="110"/>
      <c r="AM14" s="113"/>
      <c r="AN14" s="109"/>
      <c r="AO14" s="110"/>
      <c r="AP14" s="111"/>
      <c r="AQ14" s="112"/>
      <c r="AR14" s="110"/>
      <c r="AS14" s="111"/>
      <c r="AT14" s="112"/>
      <c r="AU14" s="110"/>
      <c r="AV14" s="113"/>
      <c r="AW14" s="109"/>
      <c r="AX14" s="110"/>
      <c r="AY14" s="111"/>
      <c r="AZ14" s="112"/>
      <c r="BA14" s="110"/>
      <c r="BB14" s="111"/>
      <c r="BC14" s="112"/>
      <c r="BD14" s="110"/>
      <c r="BE14" s="113"/>
    </row>
    <row r="15" spans="1:57" ht="19.5" customHeight="1" x14ac:dyDescent="0.25">
      <c r="B15" s="118" t="str">
        <f>Donnees!$C$26</f>
        <v>Visualisation profil</v>
      </c>
      <c r="C15" s="115">
        <v>3</v>
      </c>
      <c r="D15" s="102"/>
      <c r="E15" s="103"/>
      <c r="F15" s="104"/>
      <c r="G15" s="105"/>
      <c r="H15" s="103"/>
      <c r="I15" s="104"/>
      <c r="J15" s="105"/>
      <c r="K15" s="103"/>
      <c r="L15" s="106"/>
      <c r="M15" s="102"/>
      <c r="N15" s="103"/>
      <c r="O15" s="104"/>
      <c r="P15" s="105"/>
      <c r="Q15" s="103"/>
      <c r="R15" s="104"/>
      <c r="S15" s="105"/>
      <c r="T15" s="103"/>
      <c r="U15" s="106"/>
      <c r="V15" s="102"/>
      <c r="W15" s="103"/>
      <c r="X15" s="104"/>
      <c r="Y15" s="105"/>
      <c r="Z15" s="103"/>
      <c r="AA15" s="104"/>
      <c r="AB15" s="133"/>
      <c r="AC15" s="131"/>
      <c r="AD15" s="134"/>
      <c r="AE15" s="102"/>
      <c r="AF15" s="103"/>
      <c r="AG15" s="104"/>
      <c r="AH15" s="105"/>
      <c r="AI15" s="103"/>
      <c r="AJ15" s="104"/>
      <c r="AK15" s="105"/>
      <c r="AL15" s="103"/>
      <c r="AM15" s="106"/>
      <c r="AN15" s="102"/>
      <c r="AO15" s="103"/>
      <c r="AP15" s="104"/>
      <c r="AQ15" s="105"/>
      <c r="AR15" s="103"/>
      <c r="AS15" s="104"/>
      <c r="AT15" s="105"/>
      <c r="AU15" s="103"/>
      <c r="AV15" s="106"/>
      <c r="AW15" s="102"/>
      <c r="AX15" s="103"/>
      <c r="AY15" s="104"/>
      <c r="AZ15" s="105"/>
      <c r="BA15" s="103"/>
      <c r="BB15" s="104"/>
      <c r="BC15" s="105"/>
      <c r="BD15" s="103"/>
      <c r="BE15" s="106"/>
    </row>
    <row r="16" spans="1:57" ht="19.5" customHeight="1" thickBot="1" x14ac:dyDescent="0.3">
      <c r="A16" s="119"/>
      <c r="B16" s="116"/>
      <c r="C16" s="117">
        <v>0</v>
      </c>
      <c r="D16" s="109"/>
      <c r="E16" s="110"/>
      <c r="F16" s="111"/>
      <c r="G16" s="112"/>
      <c r="H16" s="110"/>
      <c r="I16" s="111"/>
      <c r="J16" s="112"/>
      <c r="K16" s="110"/>
      <c r="L16" s="113"/>
      <c r="M16" s="109"/>
      <c r="N16" s="110"/>
      <c r="O16" s="111"/>
      <c r="P16" s="112"/>
      <c r="Q16" s="110"/>
      <c r="R16" s="111"/>
      <c r="S16" s="112"/>
      <c r="T16" s="110"/>
      <c r="U16" s="113"/>
      <c r="V16" s="109"/>
      <c r="W16" s="110"/>
      <c r="X16" s="111"/>
      <c r="Y16" s="112"/>
      <c r="Z16" s="110"/>
      <c r="AA16" s="111"/>
      <c r="AB16" s="112"/>
      <c r="AC16" s="110"/>
      <c r="AD16" s="113"/>
      <c r="AE16" s="109"/>
      <c r="AF16" s="110"/>
      <c r="AG16" s="111"/>
      <c r="AH16" s="112"/>
      <c r="AI16" s="110"/>
      <c r="AJ16" s="111"/>
      <c r="AK16" s="112"/>
      <c r="AL16" s="110"/>
      <c r="AM16" s="113"/>
      <c r="AN16" s="109"/>
      <c r="AO16" s="110"/>
      <c r="AP16" s="111"/>
      <c r="AQ16" s="112"/>
      <c r="AR16" s="110"/>
      <c r="AS16" s="111"/>
      <c r="AT16" s="112"/>
      <c r="AU16" s="110"/>
      <c r="AV16" s="113"/>
      <c r="AW16" s="109"/>
      <c r="AX16" s="110"/>
      <c r="AY16" s="111"/>
      <c r="AZ16" s="112"/>
      <c r="BA16" s="110"/>
      <c r="BB16" s="111"/>
      <c r="BC16" s="112"/>
      <c r="BD16" s="110"/>
      <c r="BE16" s="113"/>
    </row>
    <row r="17" spans="2:57" ht="19.5" customHeight="1" x14ac:dyDescent="0.25">
      <c r="B17" s="118" t="str">
        <f>Donnees!$C$27</f>
        <v>Visualisation statistique écoutes</v>
      </c>
      <c r="C17" s="115">
        <v>9</v>
      </c>
      <c r="D17" s="102"/>
      <c r="E17" s="103"/>
      <c r="F17" s="104"/>
      <c r="G17" s="105"/>
      <c r="H17" s="103"/>
      <c r="I17" s="104"/>
      <c r="J17" s="105"/>
      <c r="K17" s="103"/>
      <c r="L17" s="106"/>
      <c r="M17" s="102"/>
      <c r="N17" s="103"/>
      <c r="O17" s="104"/>
      <c r="P17" s="105"/>
      <c r="Q17" s="103"/>
      <c r="R17" s="104"/>
      <c r="S17" s="105"/>
      <c r="T17" s="103"/>
      <c r="U17" s="106"/>
      <c r="V17" s="102"/>
      <c r="W17" s="103"/>
      <c r="X17" s="104"/>
      <c r="Y17" s="105"/>
      <c r="Z17" s="103"/>
      <c r="AA17" s="104"/>
      <c r="AB17" s="105"/>
      <c r="AC17" s="103"/>
      <c r="AD17" s="106"/>
      <c r="AE17" s="102"/>
      <c r="AF17" s="103"/>
      <c r="AG17" s="104"/>
      <c r="AH17" s="105"/>
      <c r="AI17" s="103"/>
      <c r="AJ17" s="104"/>
      <c r="AK17" s="105"/>
      <c r="AL17" s="103"/>
      <c r="AM17" s="106"/>
      <c r="AN17" s="130"/>
      <c r="AO17" s="131"/>
      <c r="AP17" s="132"/>
      <c r="AQ17" s="133"/>
      <c r="AR17" s="131"/>
      <c r="AS17" s="132"/>
      <c r="AT17" s="133"/>
      <c r="AU17" s="131"/>
      <c r="AV17" s="134"/>
      <c r="AW17" s="102"/>
      <c r="AX17" s="103"/>
      <c r="AY17" s="104"/>
      <c r="AZ17" s="105"/>
      <c r="BA17" s="103"/>
      <c r="BB17" s="104"/>
      <c r="BC17" s="105"/>
      <c r="BD17" s="103"/>
      <c r="BE17" s="106"/>
    </row>
    <row r="18" spans="2:57" ht="19.5" customHeight="1" thickBot="1" x14ac:dyDescent="0.3">
      <c r="B18" s="116"/>
      <c r="C18" s="117">
        <v>0</v>
      </c>
      <c r="D18" s="109"/>
      <c r="E18" s="110"/>
      <c r="F18" s="111"/>
      <c r="G18" s="112"/>
      <c r="H18" s="110"/>
      <c r="I18" s="111"/>
      <c r="J18" s="112"/>
      <c r="K18" s="110"/>
      <c r="L18" s="113"/>
      <c r="M18" s="109"/>
      <c r="N18" s="110"/>
      <c r="O18" s="111"/>
      <c r="P18" s="112"/>
      <c r="Q18" s="110"/>
      <c r="R18" s="111"/>
      <c r="S18" s="112"/>
      <c r="T18" s="110"/>
      <c r="U18" s="113"/>
      <c r="V18" s="109"/>
      <c r="W18" s="110"/>
      <c r="X18" s="111"/>
      <c r="Y18" s="112"/>
      <c r="Z18" s="110"/>
      <c r="AA18" s="111"/>
      <c r="AB18" s="112"/>
      <c r="AC18" s="110"/>
      <c r="AD18" s="113"/>
      <c r="AE18" s="109"/>
      <c r="AF18" s="110"/>
      <c r="AG18" s="111"/>
      <c r="AH18" s="112"/>
      <c r="AI18" s="110"/>
      <c r="AJ18" s="111"/>
      <c r="AK18" s="112"/>
      <c r="AL18" s="110"/>
      <c r="AM18" s="113"/>
      <c r="AN18" s="109"/>
      <c r="AO18" s="110"/>
      <c r="AP18" s="111"/>
      <c r="AQ18" s="112"/>
      <c r="AR18" s="110"/>
      <c r="AS18" s="111"/>
      <c r="AT18" s="112"/>
      <c r="AU18" s="110"/>
      <c r="AV18" s="113"/>
      <c r="AW18" s="109"/>
      <c r="AX18" s="110"/>
      <c r="AY18" s="111"/>
      <c r="AZ18" s="112"/>
      <c r="BA18" s="110"/>
      <c r="BB18" s="111"/>
      <c r="BC18" s="112"/>
      <c r="BD18" s="110"/>
      <c r="BE18" s="113"/>
    </row>
    <row r="19" spans="2:57" ht="19.5" customHeight="1" x14ac:dyDescent="0.25">
      <c r="B19" s="118" t="str">
        <f>Donnees!$C$28</f>
        <v>Page de favoris</v>
      </c>
      <c r="C19" s="115">
        <v>3</v>
      </c>
      <c r="D19" s="102"/>
      <c r="E19" s="103"/>
      <c r="F19" s="104"/>
      <c r="G19" s="105"/>
      <c r="H19" s="103"/>
      <c r="I19" s="104"/>
      <c r="J19" s="105"/>
      <c r="K19" s="103"/>
      <c r="L19" s="106"/>
      <c r="M19" s="102"/>
      <c r="N19" s="103"/>
      <c r="O19" s="104"/>
      <c r="P19" s="105"/>
      <c r="Q19" s="103"/>
      <c r="R19" s="104"/>
      <c r="S19" s="105"/>
      <c r="T19" s="103"/>
      <c r="U19" s="106"/>
      <c r="V19" s="102"/>
      <c r="W19" s="103"/>
      <c r="X19" s="104"/>
      <c r="Y19" s="105"/>
      <c r="Z19" s="103"/>
      <c r="AA19" s="104"/>
      <c r="AB19" s="105"/>
      <c r="AC19" s="103"/>
      <c r="AD19" s="106"/>
      <c r="AE19" s="102"/>
      <c r="AF19" s="103"/>
      <c r="AG19" s="104"/>
      <c r="AH19" s="105"/>
      <c r="AI19" s="103"/>
      <c r="AJ19" s="104"/>
      <c r="AK19" s="133"/>
      <c r="AL19" s="131"/>
      <c r="AM19" s="134"/>
      <c r="AN19" s="102"/>
      <c r="AO19" s="103"/>
      <c r="AP19" s="104"/>
      <c r="AQ19" s="105"/>
      <c r="AR19" s="103"/>
      <c r="AS19" s="104"/>
      <c r="AT19" s="105"/>
      <c r="AU19" s="103"/>
      <c r="AV19" s="106"/>
      <c r="AW19" s="102"/>
      <c r="AX19" s="103"/>
      <c r="AY19" s="104"/>
      <c r="AZ19" s="105"/>
      <c r="BA19" s="103"/>
      <c r="BB19" s="104"/>
      <c r="BC19" s="105"/>
      <c r="BD19" s="103"/>
      <c r="BE19" s="106"/>
    </row>
    <row r="20" spans="2:57" ht="19.5" customHeight="1" thickBot="1" x14ac:dyDescent="0.3">
      <c r="B20" s="116"/>
      <c r="C20" s="117">
        <v>0</v>
      </c>
      <c r="D20" s="109"/>
      <c r="E20" s="110"/>
      <c r="F20" s="111"/>
      <c r="G20" s="112"/>
      <c r="H20" s="110"/>
      <c r="I20" s="111"/>
      <c r="J20" s="112"/>
      <c r="K20" s="110"/>
      <c r="L20" s="113"/>
      <c r="M20" s="109"/>
      <c r="N20" s="110"/>
      <c r="O20" s="111"/>
      <c r="P20" s="112"/>
      <c r="Q20" s="110"/>
      <c r="R20" s="111"/>
      <c r="S20" s="112"/>
      <c r="T20" s="110"/>
      <c r="U20" s="113"/>
      <c r="V20" s="109"/>
      <c r="W20" s="110"/>
      <c r="X20" s="111"/>
      <c r="Y20" s="112"/>
      <c r="Z20" s="110"/>
      <c r="AA20" s="111"/>
      <c r="AB20" s="112"/>
      <c r="AC20" s="110"/>
      <c r="AD20" s="113"/>
      <c r="AE20" s="109"/>
      <c r="AF20" s="110"/>
      <c r="AG20" s="111"/>
      <c r="AH20" s="112"/>
      <c r="AI20" s="110"/>
      <c r="AJ20" s="111"/>
      <c r="AK20" s="112"/>
      <c r="AL20" s="110"/>
      <c r="AM20" s="113"/>
      <c r="AN20" s="109"/>
      <c r="AO20" s="110"/>
      <c r="AP20" s="111"/>
      <c r="AQ20" s="112"/>
      <c r="AR20" s="110"/>
      <c r="AS20" s="111"/>
      <c r="AT20" s="112"/>
      <c r="AU20" s="110"/>
      <c r="AV20" s="113"/>
      <c r="AW20" s="109"/>
      <c r="AX20" s="110"/>
      <c r="AY20" s="111"/>
      <c r="AZ20" s="112"/>
      <c r="BA20" s="110"/>
      <c r="BB20" s="111"/>
      <c r="BC20" s="112"/>
      <c r="BD20" s="110"/>
      <c r="BE20" s="113"/>
    </row>
    <row r="21" spans="2:57" ht="19.5" customHeight="1" x14ac:dyDescent="0.25">
      <c r="B21" s="118" t="str">
        <f>Donnees!$C$29</f>
        <v>Fonctionnalité d'ajout aux favoris</v>
      </c>
      <c r="C21" s="115">
        <v>6</v>
      </c>
      <c r="D21" s="102"/>
      <c r="E21" s="103"/>
      <c r="F21" s="104"/>
      <c r="G21" s="105"/>
      <c r="H21" s="103"/>
      <c r="I21" s="104"/>
      <c r="J21" s="105"/>
      <c r="K21" s="103"/>
      <c r="L21" s="106"/>
      <c r="M21" s="102"/>
      <c r="N21" s="103"/>
      <c r="O21" s="104"/>
      <c r="P21" s="105"/>
      <c r="Q21" s="103"/>
      <c r="R21" s="104"/>
      <c r="S21" s="105"/>
      <c r="T21" s="103"/>
      <c r="U21" s="106"/>
      <c r="V21" s="102"/>
      <c r="W21" s="103"/>
      <c r="X21" s="104"/>
      <c r="Y21" s="105"/>
      <c r="Z21" s="103"/>
      <c r="AA21" s="104"/>
      <c r="AB21" s="105"/>
      <c r="AC21" s="103"/>
      <c r="AD21" s="106"/>
      <c r="AE21" s="130"/>
      <c r="AF21" s="131"/>
      <c r="AG21" s="132"/>
      <c r="AH21" s="133"/>
      <c r="AI21" s="131"/>
      <c r="AJ21" s="132"/>
      <c r="AK21" s="105"/>
      <c r="AL21" s="103"/>
      <c r="AM21" s="106"/>
      <c r="AN21" s="102"/>
      <c r="AO21" s="103"/>
      <c r="AP21" s="104"/>
      <c r="AQ21" s="105"/>
      <c r="AR21" s="103"/>
      <c r="AS21" s="104"/>
      <c r="AT21" s="105"/>
      <c r="AU21" s="103"/>
      <c r="AV21" s="106"/>
      <c r="AW21" s="102"/>
      <c r="AX21" s="103"/>
      <c r="AY21" s="104"/>
      <c r="AZ21" s="105"/>
      <c r="BA21" s="103"/>
      <c r="BB21" s="104"/>
      <c r="BC21" s="105"/>
      <c r="BD21" s="103"/>
      <c r="BE21" s="106"/>
    </row>
    <row r="22" spans="2:57" ht="19.5" customHeight="1" thickBot="1" x14ac:dyDescent="0.3">
      <c r="B22" s="116"/>
      <c r="C22" s="117">
        <v>0</v>
      </c>
      <c r="D22" s="109"/>
      <c r="E22" s="110"/>
      <c r="F22" s="111"/>
      <c r="G22" s="112"/>
      <c r="H22" s="110"/>
      <c r="I22" s="111"/>
      <c r="J22" s="112"/>
      <c r="K22" s="110"/>
      <c r="L22" s="113"/>
      <c r="M22" s="109"/>
      <c r="N22" s="110"/>
      <c r="O22" s="111"/>
      <c r="P22" s="112"/>
      <c r="Q22" s="110"/>
      <c r="R22" s="111"/>
      <c r="S22" s="112"/>
      <c r="T22" s="110"/>
      <c r="U22" s="113"/>
      <c r="V22" s="109"/>
      <c r="W22" s="110"/>
      <c r="X22" s="111"/>
      <c r="Y22" s="112"/>
      <c r="Z22" s="110"/>
      <c r="AA22" s="111"/>
      <c r="AB22" s="112"/>
      <c r="AC22" s="110"/>
      <c r="AD22" s="113"/>
      <c r="AE22" s="109"/>
      <c r="AF22" s="110"/>
      <c r="AG22" s="111"/>
      <c r="AH22" s="112"/>
      <c r="AI22" s="110"/>
      <c r="AJ22" s="111"/>
      <c r="AK22" s="112"/>
      <c r="AL22" s="110"/>
      <c r="AM22" s="113"/>
      <c r="AN22" s="109"/>
      <c r="AO22" s="110"/>
      <c r="AP22" s="111"/>
      <c r="AQ22" s="112"/>
      <c r="AR22" s="110"/>
      <c r="AS22" s="111"/>
      <c r="AT22" s="112"/>
      <c r="AU22" s="110"/>
      <c r="AV22" s="113"/>
      <c r="AW22" s="109"/>
      <c r="AX22" s="110"/>
      <c r="AY22" s="111"/>
      <c r="AZ22" s="112"/>
      <c r="BA22" s="110"/>
      <c r="BB22" s="111"/>
      <c r="BC22" s="112"/>
      <c r="BD22" s="110"/>
      <c r="BE22" s="113"/>
    </row>
    <row r="23" spans="2:57" ht="19.5" customHeight="1" x14ac:dyDescent="0.25">
      <c r="B23" s="118" t="str">
        <f>Donnees!$C$30</f>
        <v>Plannification projet</v>
      </c>
      <c r="C23" s="115">
        <v>2</v>
      </c>
      <c r="D23" s="102"/>
      <c r="E23" s="103"/>
      <c r="F23" s="104"/>
      <c r="G23" s="105"/>
      <c r="H23" s="103"/>
      <c r="I23" s="104"/>
      <c r="J23" s="105"/>
      <c r="K23" s="131"/>
      <c r="L23" s="134"/>
      <c r="M23" s="102"/>
      <c r="N23" s="103"/>
      <c r="O23" s="104"/>
      <c r="P23" s="105"/>
      <c r="Q23" s="103"/>
      <c r="R23" s="104"/>
      <c r="S23" s="105"/>
      <c r="T23" s="103"/>
      <c r="U23" s="106"/>
      <c r="V23" s="102"/>
      <c r="W23" s="103"/>
      <c r="X23" s="104"/>
      <c r="Y23" s="105"/>
      <c r="Z23" s="103"/>
      <c r="AA23" s="104"/>
      <c r="AB23" s="105"/>
      <c r="AC23" s="103"/>
      <c r="AD23" s="106"/>
      <c r="AE23" s="102"/>
      <c r="AF23" s="103"/>
      <c r="AG23" s="104"/>
      <c r="AH23" s="105"/>
      <c r="AI23" s="103"/>
      <c r="AJ23" s="104"/>
      <c r="AK23" s="105"/>
      <c r="AL23" s="103"/>
      <c r="AM23" s="106"/>
      <c r="AN23" s="102"/>
      <c r="AO23" s="103"/>
      <c r="AP23" s="104"/>
      <c r="AQ23" s="105"/>
      <c r="AR23" s="103"/>
      <c r="AS23" s="104"/>
      <c r="AT23" s="105"/>
      <c r="AU23" s="103"/>
      <c r="AV23" s="106"/>
      <c r="AW23" s="102"/>
      <c r="AX23" s="103"/>
      <c r="AY23" s="104"/>
      <c r="AZ23" s="105"/>
      <c r="BA23" s="103"/>
      <c r="BB23" s="104"/>
      <c r="BC23" s="105"/>
      <c r="BD23" s="103"/>
      <c r="BE23" s="106"/>
    </row>
    <row r="24" spans="2:57" ht="19.5" customHeight="1" thickBot="1" x14ac:dyDescent="0.3">
      <c r="B24" s="116"/>
      <c r="C24" s="117">
        <v>0</v>
      </c>
      <c r="D24" s="109"/>
      <c r="E24" s="110"/>
      <c r="F24" s="111"/>
      <c r="G24" s="112"/>
      <c r="H24" s="110"/>
      <c r="I24" s="111"/>
      <c r="J24" s="112"/>
      <c r="K24" s="110"/>
      <c r="L24" s="113"/>
      <c r="M24" s="109"/>
      <c r="N24" s="110"/>
      <c r="O24" s="111"/>
      <c r="P24" s="112"/>
      <c r="Q24" s="110"/>
      <c r="R24" s="111"/>
      <c r="S24" s="112"/>
      <c r="T24" s="110"/>
      <c r="U24" s="113"/>
      <c r="V24" s="109"/>
      <c r="W24" s="110"/>
      <c r="X24" s="111"/>
      <c r="Y24" s="112"/>
      <c r="Z24" s="110"/>
      <c r="AA24" s="111"/>
      <c r="AB24" s="112"/>
      <c r="AC24" s="110"/>
      <c r="AD24" s="113"/>
      <c r="AE24" s="109"/>
      <c r="AF24" s="110"/>
      <c r="AG24" s="111"/>
      <c r="AH24" s="112"/>
      <c r="AI24" s="110"/>
      <c r="AJ24" s="111"/>
      <c r="AK24" s="112"/>
      <c r="AL24" s="110"/>
      <c r="AM24" s="113"/>
      <c r="AN24" s="109"/>
      <c r="AO24" s="110"/>
      <c r="AP24" s="111"/>
      <c r="AQ24" s="112"/>
      <c r="AR24" s="110"/>
      <c r="AS24" s="111"/>
      <c r="AT24" s="112"/>
      <c r="AU24" s="110"/>
      <c r="AV24" s="113"/>
      <c r="AW24" s="109"/>
      <c r="AX24" s="110"/>
      <c r="AY24" s="111"/>
      <c r="AZ24" s="112"/>
      <c r="BA24" s="110"/>
      <c r="BB24" s="111"/>
      <c r="BC24" s="112"/>
      <c r="BD24" s="110"/>
      <c r="BE24" s="113"/>
    </row>
    <row r="25" spans="2:57" ht="19.5" customHeight="1" x14ac:dyDescent="0.25">
      <c r="B25" s="118" t="str">
        <f>Donnees!$C$31</f>
        <v>Redaction rapport</v>
      </c>
      <c r="C25" s="115">
        <v>9</v>
      </c>
      <c r="D25" s="102"/>
      <c r="E25" s="103"/>
      <c r="F25" s="104"/>
      <c r="G25" s="105"/>
      <c r="H25" s="103"/>
      <c r="I25" s="104"/>
      <c r="J25" s="105"/>
      <c r="K25" s="103"/>
      <c r="L25" s="106"/>
      <c r="M25" s="102"/>
      <c r="N25" s="103"/>
      <c r="O25" s="104"/>
      <c r="P25" s="105"/>
      <c r="Q25" s="103"/>
      <c r="R25" s="104"/>
      <c r="S25" s="105"/>
      <c r="T25" s="103"/>
      <c r="U25" s="106"/>
      <c r="V25" s="102"/>
      <c r="W25" s="103"/>
      <c r="X25" s="104"/>
      <c r="Y25" s="105"/>
      <c r="Z25" s="103"/>
      <c r="AA25" s="104"/>
      <c r="AB25" s="105"/>
      <c r="AC25" s="103"/>
      <c r="AD25" s="106"/>
      <c r="AE25" s="102"/>
      <c r="AF25" s="103"/>
      <c r="AG25" s="104"/>
      <c r="AH25" s="105"/>
      <c r="AI25" s="103"/>
      <c r="AJ25" s="104"/>
      <c r="AK25" s="105"/>
      <c r="AL25" s="103"/>
      <c r="AM25" s="106"/>
      <c r="AN25" s="102"/>
      <c r="AO25" s="103"/>
      <c r="AP25" s="104"/>
      <c r="AQ25" s="105"/>
      <c r="AR25" s="103"/>
      <c r="AS25" s="104"/>
      <c r="AT25" s="105"/>
      <c r="AU25" s="103"/>
      <c r="AV25" s="106"/>
      <c r="AW25" s="130"/>
      <c r="AX25" s="131"/>
      <c r="AY25" s="132"/>
      <c r="AZ25" s="133"/>
      <c r="BA25" s="131"/>
      <c r="BB25" s="132"/>
      <c r="BC25" s="133"/>
      <c r="BD25" s="131"/>
      <c r="BE25" s="134"/>
    </row>
    <row r="26" spans="2:57" ht="19.5" customHeight="1" x14ac:dyDescent="0.25">
      <c r="B26" s="116"/>
      <c r="C26" s="117">
        <v>0</v>
      </c>
      <c r="D26" s="109"/>
      <c r="E26" s="110"/>
      <c r="F26" s="111"/>
      <c r="G26" s="112"/>
      <c r="H26" s="110"/>
      <c r="I26" s="111"/>
      <c r="J26" s="112"/>
      <c r="K26" s="110"/>
      <c r="L26" s="113"/>
      <c r="M26" s="109"/>
      <c r="N26" s="110"/>
      <c r="O26" s="111"/>
      <c r="P26" s="112"/>
      <c r="Q26" s="110"/>
      <c r="R26" s="111"/>
      <c r="S26" s="112"/>
      <c r="T26" s="110"/>
      <c r="U26" s="113"/>
      <c r="V26" s="109"/>
      <c r="W26" s="110"/>
      <c r="X26" s="111"/>
      <c r="Y26" s="112"/>
      <c r="Z26" s="110"/>
      <c r="AA26" s="111"/>
      <c r="AB26" s="112"/>
      <c r="AC26" s="110"/>
      <c r="AD26" s="113"/>
      <c r="AE26" s="109"/>
      <c r="AF26" s="110"/>
      <c r="AG26" s="111"/>
      <c r="AH26" s="112"/>
      <c r="AI26" s="110"/>
      <c r="AJ26" s="111"/>
      <c r="AK26" s="112"/>
      <c r="AL26" s="110"/>
      <c r="AM26" s="113"/>
      <c r="AN26" s="109"/>
      <c r="AO26" s="110"/>
      <c r="AP26" s="111"/>
      <c r="AQ26" s="112"/>
      <c r="AR26" s="110"/>
      <c r="AS26" s="111"/>
      <c r="AT26" s="112"/>
      <c r="AU26" s="110"/>
      <c r="AV26" s="113"/>
      <c r="AW26" s="109"/>
      <c r="AX26" s="110"/>
      <c r="AY26" s="111"/>
      <c r="AZ26" s="112"/>
      <c r="BA26" s="110"/>
      <c r="BB26" s="111"/>
      <c r="BC26" s="112"/>
      <c r="BD26" s="110"/>
      <c r="BE26" s="113"/>
    </row>
    <row r="27" spans="2:57" ht="19.5" customHeight="1" x14ac:dyDescent="0.25">
      <c r="B27" s="120" t="s">
        <v>29</v>
      </c>
      <c r="C27" s="121">
        <f>SUM($C$3,$C$5,$C$7,$C$9,$C$11,$C$13,$C$15,$C$17,$C$19,$C$21,$C$23,$C$25)</f>
        <v>54</v>
      </c>
      <c r="D27" s="122"/>
      <c r="E27" s="123"/>
      <c r="F27" s="123"/>
      <c r="G27" s="123"/>
      <c r="H27" s="123"/>
      <c r="I27" s="123"/>
      <c r="J27" s="123"/>
      <c r="K27" s="123"/>
      <c r="L27" s="124"/>
      <c r="M27" s="122"/>
      <c r="N27" s="123"/>
      <c r="O27" s="123"/>
      <c r="P27" s="123"/>
      <c r="Q27" s="123"/>
      <c r="R27" s="123"/>
      <c r="S27" s="123"/>
      <c r="T27" s="123"/>
      <c r="U27" s="124"/>
      <c r="V27" s="122"/>
      <c r="W27" s="123"/>
      <c r="X27" s="123"/>
      <c r="Y27" s="123"/>
      <c r="Z27" s="123"/>
      <c r="AA27" s="123"/>
      <c r="AB27" s="123"/>
      <c r="AC27" s="123"/>
      <c r="AD27" s="124"/>
      <c r="AE27" s="122"/>
      <c r="AF27" s="123"/>
      <c r="AG27" s="123"/>
      <c r="AH27" s="123"/>
      <c r="AI27" s="123"/>
      <c r="AJ27" s="123"/>
      <c r="AK27" s="123"/>
      <c r="AL27" s="123"/>
      <c r="AM27" s="124"/>
      <c r="AN27" s="122"/>
      <c r="AO27" s="123"/>
      <c r="AP27" s="123"/>
      <c r="AQ27" s="123"/>
      <c r="AR27" s="123"/>
      <c r="AS27" s="123"/>
      <c r="AT27" s="123"/>
      <c r="AU27" s="123"/>
      <c r="AV27" s="124"/>
      <c r="AW27" s="122"/>
      <c r="AX27" s="123"/>
      <c r="AY27" s="123"/>
      <c r="AZ27" s="123"/>
      <c r="BA27" s="123"/>
      <c r="BB27" s="123"/>
      <c r="BC27" s="123"/>
      <c r="BD27" s="123"/>
      <c r="BE27" s="124"/>
    </row>
    <row r="28" spans="2:57" ht="19.5" customHeight="1" thickBot="1" x14ac:dyDescent="0.3">
      <c r="B28" s="125" t="s">
        <v>30</v>
      </c>
      <c r="C28" s="126">
        <f>SUM($C$4,$C$6,$C$8,$C$10,$C$12,$C$14,$C$16,$C$18,$C$20,$C$22,$C$24,$C$26)</f>
        <v>0</v>
      </c>
      <c r="D28" s="127"/>
      <c r="E28" s="128"/>
      <c r="F28" s="128"/>
      <c r="G28" s="128"/>
      <c r="H28" s="128"/>
      <c r="I28" s="128"/>
      <c r="J28" s="128"/>
      <c r="K28" s="128"/>
      <c r="L28" s="129"/>
      <c r="M28" s="127"/>
      <c r="N28" s="128"/>
      <c r="O28" s="128"/>
      <c r="P28" s="128"/>
      <c r="Q28" s="128"/>
      <c r="R28" s="128"/>
      <c r="S28" s="128"/>
      <c r="T28" s="128"/>
      <c r="U28" s="129"/>
      <c r="V28" s="127"/>
      <c r="W28" s="128"/>
      <c r="X28" s="128"/>
      <c r="Y28" s="128"/>
      <c r="Z28" s="128"/>
      <c r="AA28" s="128"/>
      <c r="AB28" s="128"/>
      <c r="AC28" s="128"/>
      <c r="AD28" s="129"/>
      <c r="AE28" s="127"/>
      <c r="AF28" s="128"/>
      <c r="AG28" s="128"/>
      <c r="AH28" s="128"/>
      <c r="AI28" s="128"/>
      <c r="AJ28" s="128"/>
      <c r="AK28" s="128"/>
      <c r="AL28" s="128"/>
      <c r="AM28" s="129"/>
      <c r="AN28" s="127"/>
      <c r="AO28" s="128"/>
      <c r="AP28" s="128"/>
      <c r="AQ28" s="128"/>
      <c r="AR28" s="128"/>
      <c r="AS28" s="128"/>
      <c r="AT28" s="128"/>
      <c r="AU28" s="128"/>
      <c r="AV28" s="129"/>
      <c r="AW28" s="127"/>
      <c r="AX28" s="128"/>
      <c r="AY28" s="128"/>
      <c r="AZ28" s="128"/>
      <c r="BA28" s="128"/>
      <c r="BB28" s="128"/>
      <c r="BC28" s="128"/>
      <c r="BD28" s="128"/>
      <c r="BE28" s="129"/>
    </row>
  </sheetData>
  <sheetProtection sheet="1" objects="1" scenarios="1" insertRows="0" selectLockedCells="1"/>
  <mergeCells count="18">
    <mergeCell ref="D2:L2"/>
    <mergeCell ref="M2:U2"/>
    <mergeCell ref="V2:AD2"/>
    <mergeCell ref="AE2:AM2"/>
    <mergeCell ref="AN2:AV2"/>
    <mergeCell ref="AW2:BE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 xr:uid="{D09BA426-A52F-426D-8DD0-17F867257709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31</v>
      </c>
      <c r="B1" s="43">
        <v>1</v>
      </c>
      <c r="C1" s="44" t="s">
        <v>39</v>
      </c>
      <c r="D1" s="53"/>
    </row>
    <row r="2" spans="1:4" ht="27.75" thickBot="1" x14ac:dyDescent="0.3">
      <c r="A2" s="45" t="s">
        <v>32</v>
      </c>
      <c r="B2" s="46" t="s">
        <v>33</v>
      </c>
      <c r="C2" s="45" t="s">
        <v>34</v>
      </c>
      <c r="D2" s="45" t="s">
        <v>35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65a6d46b781cb9444ec2db2f74c2df82">
  <xsd:schema xmlns:xsd="http://www.w3.org/2001/XMLSchema" xmlns:xs="http://www.w3.org/2001/XMLSchema" xmlns:p="http://schemas.microsoft.com/office/2006/metadata/properties" xmlns:ns2="be0d3259-a7ce-4623-88ec-81594dfcbc1c" xmlns:ns3="99ffe1f3-7857-457f-add0-5bdef636f38d" targetNamespace="http://schemas.microsoft.com/office/2006/metadata/properties" ma:root="true" ma:fieldsID="4cf53862823fca6fd99750c7c9351cde" ns2:_="" ns3:_="">
    <xsd:import namespace="be0d3259-a7ce-4623-88ec-81594dfcbc1c"/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067f36-4718-4f29-8492-5a470e11205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70F13502-2D51-4025-AF7B-D44DD2E3AA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0d3259-a7ce-4623-88ec-81594dfcbc1c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DiagramHeader</vt:lpstr>
      <vt:lpstr>DiagramFooter</vt:lpstr>
      <vt:lpstr>PlanificationWeek</vt:lpstr>
      <vt:lpstr>Planning</vt:lpstr>
      <vt:lpstr>Diagramme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keywords/>
  <dc:description/>
  <cp:lastModifiedBy>Cyril Constant Napoleone</cp:lastModifiedBy>
  <cp:revision/>
  <dcterms:created xsi:type="dcterms:W3CDTF">1996-10-21T11:03:58Z</dcterms:created>
  <dcterms:modified xsi:type="dcterms:W3CDTF">2024-02-06T08:00:29Z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