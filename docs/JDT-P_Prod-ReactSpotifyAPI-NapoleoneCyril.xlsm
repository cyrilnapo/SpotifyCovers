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CF219F80-C94A-42D7-9723-81FE749E8ED1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5" l="1"/>
  <c r="D77" i="155"/>
  <c r="D58" i="155"/>
  <c r="D39" i="155"/>
  <c r="D20" i="155"/>
  <c r="D1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<sst xmlns="http://schemas.openxmlformats.org/spreadsheetml/2006/main" count="99" uniqueCount="40">
  <si>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</si>
  <si>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</si>
  <si>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</si>
  <si>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</si>
  <si>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</si>
  <si>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</si>
  <si>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</si>
  <si>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</si>
  <si>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</si>
  <si>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</si>
  <si>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</si>
  <si>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</si>
  <si>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</si>
  <si>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</si>
  <si>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</si>
  <si>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</si>
  <si>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</si>
  <si>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</t>
  </si>
  <si>
    <t>Aide mme Curchod</t>
  </si>
  <si>
    <t>Intro projet</t>
  </si>
  <si>
    <t>Création fichiers (JDT, plannif, …)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</si>
  <si>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</si>
  <si>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</si>
  <si>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</si>
  <si>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</si>
  <si>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</si>
  <si>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</si>
  <si>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</si>
  <si>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</si>
  <si>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</si>
  <si>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</si>
  <si>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</si>
  <si>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Explication du projet par le prof</t>
  </si>
  <si>
    <t>Aider madame Curchod pour décabler, rearenger, déplacer des pc, écrans, etc.. dans plusieurs classes avec Mateja, Amir, Thibaud et Luke</t>
  </si>
  <si>
    <t>Choix, écriture et validation du CDC</t>
  </si>
  <si>
    <t>Création du jdt et autres fichiers demandés (plannif, rapport, jdt, cdc)</t>
  </si>
  <si>
    <t>Max. 9</t>
  </si>
  <si>
    <t>STOP</t>
  </si>
  <si>
    <t>Mise en place environment de travail (changement de classe)</t>
  </si>
  <si>
    <t>Retour dans la salle C23 donc reinstallation des logiciels (git bash, vsc, ..) et lancement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</si>
</sst>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0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14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92" t="s">
        <v>16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23</v>
      </c>
      <c r="C3" s="27">
        <v>0</v>
      </c>
    </row>
    <row r="4" spans="2:3" ht="18.75" thickBot="1" x14ac:dyDescent="0.3">
      <c r="B4" s="26" t="s">
        <v>24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25</v>
      </c>
      <c r="B1" s="7">
        <v>1</v>
      </c>
      <c r="C1" s="17"/>
      <c r="D1" s="85"/>
    </row>
    <row r="2" spans="1:4" ht="27.75" thickBot="1" x14ac:dyDescent="0.3">
      <c r="A2" s="8" t="s">
        <v>26</v>
      </c>
      <c r="B2" s="18" t="s">
        <v>27</v>
      </c>
      <c r="C2" s="8" t="s">
        <v>28</v>
      </c>
      <c r="D2" s="8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/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BD6D-F4BC-411A-AAA0-9968279180EF}">
  <sheetPr codeName="Feuil9"/>
  <dimension ref="A1:H115"/>
  <sheetViews>
    <sheetView tabSelected="1" workbookViewId="0">
      <selection activeCell="C22" sqref="C2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>
        <f>Donnees!$C$9</f>
        <v>45321</v>
      </c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 t="s">
        <v>19</v>
      </c>
      <c r="B3" s="4">
        <v>2</v>
      </c>
      <c r="C3" s="88" t="s">
        <v>32</v>
      </c>
      <c r="D3" s="9"/>
    </row>
    <row r="4" spans="1:4" s="52" customFormat="1" ht="27" x14ac:dyDescent="0.25">
      <c r="A4" s="1" t="s">
        <v>18</v>
      </c>
      <c r="B4" s="2">
        <v>4</v>
      </c>
      <c r="C4" s="89" t="s">
        <v>33</v>
      </c>
      <c r="D4" s="10"/>
    </row>
    <row r="5" spans="1:4" s="52" customFormat="1" x14ac:dyDescent="0.25">
      <c r="A5" s="1" t="s">
        <v>17</v>
      </c>
      <c r="B5" s="2">
        <v>2</v>
      </c>
      <c r="C5" s="89" t="s">
        <v>34</v>
      </c>
      <c r="D5" s="10"/>
    </row>
    <row r="6" spans="1:4" s="52" customFormat="1" ht="27" x14ac:dyDescent="0.25">
      <c r="A6" s="1" t="s">
        <v>20</v>
      </c>
      <c r="B6" s="2">
        <v>1</v>
      </c>
      <c r="C6" s="89" t="s">
        <v>35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9</v>
      </c>
      <c r="C18" s="86" t="s">
        <v>36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25</v>
      </c>
      <c r="B20" s="43">
        <v>2</v>
      </c>
      <c r="C20" s="44" t="s">
        <v>31</v>
      </c>
      <c r="D20" s="53">
        <f>$D$1+7</f>
        <v>45328</v>
      </c>
    </row>
    <row r="21" spans="1:8" ht="27.75" thickBot="1" x14ac:dyDescent="0.3">
      <c r="A21" s="45" t="s">
        <v>26</v>
      </c>
      <c r="B21" s="46" t="s">
        <v>27</v>
      </c>
      <c r="C21" s="45" t="s">
        <v>28</v>
      </c>
      <c r="D21" s="45" t="s">
        <v>29</v>
      </c>
    </row>
    <row r="22" spans="1:8" ht="54" x14ac:dyDescent="0.25">
      <c r="A22" s="5" t="s">
        <v>38</v>
      </c>
      <c r="B22" s="4">
        <v>1</v>
      </c>
      <c r="C22" s="94" t="s">
        <v>39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30</v>
      </c>
      <c r="B37" s="47">
        <f>SUM(B22:B36)</f>
        <v>1</v>
      </c>
      <c r="C37" s="86" t="s">
        <v>36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25</v>
      </c>
      <c r="B39" s="43">
        <v>3</v>
      </c>
      <c r="C39" s="44" t="s">
        <v>31</v>
      </c>
      <c r="D39" s="53">
        <f>$D$20+7</f>
        <v>45335</v>
      </c>
    </row>
    <row r="40" spans="1:8" ht="27.75" thickBot="1" x14ac:dyDescent="0.3">
      <c r="A40" s="45" t="s">
        <v>26</v>
      </c>
      <c r="B40" s="46" t="s">
        <v>27</v>
      </c>
      <c r="C40" s="45" t="s">
        <v>28</v>
      </c>
      <c r="D40" s="45" t="s">
        <v>29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30</v>
      </c>
      <c r="B56" s="47">
        <f>SUM(B41:B55)</f>
        <v>0</v>
      </c>
      <c r="C56" s="86" t="s">
        <v>36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25</v>
      </c>
      <c r="B58" s="43">
        <v>4</v>
      </c>
      <c r="C58" s="44" t="s">
        <v>31</v>
      </c>
      <c r="D58" s="53">
        <f>$D$39+7</f>
        <v>45342</v>
      </c>
    </row>
    <row r="59" spans="1:4" ht="27.75" thickBot="1" x14ac:dyDescent="0.3">
      <c r="A59" s="45" t="s">
        <v>26</v>
      </c>
      <c r="B59" s="46" t="s">
        <v>27</v>
      </c>
      <c r="C59" s="45" t="s">
        <v>28</v>
      </c>
      <c r="D59" s="45" t="s">
        <v>29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30</v>
      </c>
      <c r="B75" s="47">
        <f>SUM(B60:B74)</f>
        <v>0</v>
      </c>
      <c r="C75" s="86" t="s">
        <v>36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25</v>
      </c>
      <c r="B77" s="43">
        <v>5</v>
      </c>
      <c r="C77" s="44" t="s">
        <v>31</v>
      </c>
      <c r="D77" s="53">
        <f>$D$58+7</f>
        <v>45349</v>
      </c>
    </row>
    <row r="78" spans="1:4" ht="27.75" thickBot="1" x14ac:dyDescent="0.3">
      <c r="A78" s="45" t="s">
        <v>26</v>
      </c>
      <c r="B78" s="46" t="s">
        <v>27</v>
      </c>
      <c r="C78" s="45" t="s">
        <v>28</v>
      </c>
      <c r="D78" s="45" t="s">
        <v>29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30</v>
      </c>
      <c r="B94" s="47">
        <f>SUM(B79:B93)</f>
        <v>0</v>
      </c>
      <c r="C94" s="86" t="s">
        <v>36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25</v>
      </c>
      <c r="B96" s="43">
        <v>6</v>
      </c>
      <c r="C96" s="44" t="s">
        <v>31</v>
      </c>
      <c r="D96" s="53">
        <f>$D$77+7</f>
        <v>45356</v>
      </c>
    </row>
    <row r="97" spans="1:4" ht="27.75" thickBot="1" x14ac:dyDescent="0.3">
      <c r="A97" s="45" t="s">
        <v>26</v>
      </c>
      <c r="B97" s="46" t="s">
        <v>27</v>
      </c>
      <c r="C97" s="45" t="s">
        <v>28</v>
      </c>
      <c r="D97" s="45" t="s">
        <v>29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30</v>
      </c>
      <c r="B113" s="47">
        <f>SUM(B98:B112)</f>
        <v>0</v>
      </c>
      <c r="C113" s="86" t="s">
        <v>36</v>
      </c>
      <c r="D113" s="48"/>
    </row>
    <row r="114" spans="1:4" ht="14.25" x14ac:dyDescent="0.3">
      <c r="A114" s="49"/>
      <c r="B114" s="49"/>
      <c r="C114" s="49"/>
      <c r="D114" s="49"/>
    </row>
    <row r="115" spans="1:4" x14ac:dyDescent="0.25">
      <c r="A115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0B92354-3071-4271-9AB3-4F14B8ABD9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B551E990-70A4-46BF-A66F-55DD886A32D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C82B1C81-9A7A-4477-B51F-355BC6D61B12}">
      <formula1>0</formula1>
      <formula2>NbPerWeek * NbQuartPer</formula2>
    </dataValidation>
    <dataValidation type="list" allowBlank="1" showInputMessage="1" showErrorMessage="1" sqref="A3:A17 A22:A36 A41:A55 A60:A74 A79:A93 A98:A112" xr:uid="{46C6277B-B999-4B52-9634-59A3FA6028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1EB7D308-B35A-403C-97B0-D24A8F360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2024-02-06T07:32:24Z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